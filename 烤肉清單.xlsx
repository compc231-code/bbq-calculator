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aafae3e6c18607/文件/"/>
    </mc:Choice>
  </mc:AlternateContent>
  <xr:revisionPtr revIDLastSave="55" documentId="8_{93734189-9AF7-46F1-A598-36B8A0F35E83}" xr6:coauthVersionLast="47" xr6:coauthVersionMax="47" xr10:uidLastSave="{8B1DDFC0-CBBB-4CF5-97D8-52724E37DD96}"/>
  <bookViews>
    <workbookView xWindow="-110" yWindow="-110" windowWidth="19420" windowHeight="10300" tabRatio="888" xr2:uid="{9951C0B6-D714-4C9F-833F-164FBFC92745}"/>
  </bookViews>
  <sheets>
    <sheet name="工作表1" sheetId="1" r:id="rId1"/>
    <sheet name="工作表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5" i="1" s="1"/>
  <c r="D24" i="2"/>
  <c r="H6" i="1"/>
  <c r="H7" i="1" l="1"/>
</calcChain>
</file>

<file path=xl/sharedStrings.xml><?xml version="1.0" encoding="utf-8"?>
<sst xmlns="http://schemas.openxmlformats.org/spreadsheetml/2006/main" count="98" uniqueCount="87">
  <si>
    <t>食材</t>
    <phoneticPr fontId="1" type="noConversion"/>
  </si>
  <si>
    <t>Item</t>
    <phoneticPr fontId="1" type="noConversion"/>
  </si>
  <si>
    <t>雞肉串</t>
    <phoneticPr fontId="1" type="noConversion"/>
  </si>
  <si>
    <t>價格</t>
    <phoneticPr fontId="1" type="noConversion"/>
  </si>
  <si>
    <t>20串</t>
    <phoneticPr fontId="1" type="noConversion"/>
  </si>
  <si>
    <t>豬五花</t>
    <phoneticPr fontId="1" type="noConversion"/>
  </si>
  <si>
    <t>羊肉串</t>
    <phoneticPr fontId="1" type="noConversion"/>
  </si>
  <si>
    <t>24串</t>
    <phoneticPr fontId="1" type="noConversion"/>
  </si>
  <si>
    <t>嫩肩牛排</t>
    <phoneticPr fontId="1" type="noConversion"/>
  </si>
  <si>
    <t>烤肉人數</t>
    <phoneticPr fontId="1" type="noConversion"/>
  </si>
  <si>
    <t>內容</t>
    <phoneticPr fontId="1" type="noConversion"/>
  </si>
  <si>
    <t>分切約10塊牛排</t>
    <phoneticPr fontId="1" type="noConversion"/>
  </si>
  <si>
    <t>付錢人數</t>
    <phoneticPr fontId="1" type="noConversion"/>
  </si>
  <si>
    <t>總預算</t>
    <phoneticPr fontId="1" type="noConversion"/>
  </si>
  <si>
    <t>單人預算</t>
    <phoneticPr fontId="1" type="noConversion"/>
  </si>
  <si>
    <t>目前平均一人</t>
    <phoneticPr fontId="1" type="noConversion"/>
  </si>
  <si>
    <t>目前費用</t>
    <phoneticPr fontId="1" type="noConversion"/>
  </si>
  <si>
    <t>雞腿肉</t>
    <phoneticPr fontId="1" type="noConversion"/>
  </si>
  <si>
    <t>4塊</t>
    <phoneticPr fontId="1" type="noConversion"/>
  </si>
  <si>
    <t>吳郭魚</t>
    <phoneticPr fontId="1" type="noConversion"/>
  </si>
  <si>
    <t>2條</t>
    <phoneticPr fontId="1" type="noConversion"/>
  </si>
  <si>
    <t>香腸</t>
    <phoneticPr fontId="1" type="noConversion"/>
  </si>
  <si>
    <t>5條</t>
    <phoneticPr fontId="1" type="noConversion"/>
  </si>
  <si>
    <t>米血</t>
    <phoneticPr fontId="1" type="noConversion"/>
  </si>
  <si>
    <t>1條</t>
    <phoneticPr fontId="1" type="noConversion"/>
  </si>
  <si>
    <t>杏鮑菇</t>
    <phoneticPr fontId="1" type="noConversion"/>
  </si>
  <si>
    <t>節瓜</t>
    <phoneticPr fontId="1" type="noConversion"/>
  </si>
  <si>
    <t>洋蔥</t>
    <phoneticPr fontId="1" type="noConversion"/>
  </si>
  <si>
    <t>蒜頭</t>
    <phoneticPr fontId="1" type="noConversion"/>
  </si>
  <si>
    <t>2顆</t>
    <phoneticPr fontId="1" type="noConversion"/>
  </si>
  <si>
    <t>蔥</t>
    <phoneticPr fontId="1" type="noConversion"/>
  </si>
  <si>
    <t>蛤蠣</t>
    <phoneticPr fontId="1" type="noConversion"/>
  </si>
  <si>
    <t>1斤</t>
    <phoneticPr fontId="1" type="noConversion"/>
  </si>
  <si>
    <t>蝦子</t>
    <phoneticPr fontId="1" type="noConversion"/>
  </si>
  <si>
    <t>生蚵</t>
    <phoneticPr fontId="1" type="noConversion"/>
  </si>
  <si>
    <t>5斤</t>
    <phoneticPr fontId="1" type="noConversion"/>
  </si>
  <si>
    <t>一包</t>
    <phoneticPr fontId="1" type="noConversion"/>
  </si>
  <si>
    <t>3條</t>
    <phoneticPr fontId="1" type="noConversion"/>
  </si>
  <si>
    <t>少許</t>
    <phoneticPr fontId="1" type="noConversion"/>
  </si>
  <si>
    <t>阿順師調味粉</t>
    <phoneticPr fontId="1" type="noConversion"/>
  </si>
  <si>
    <t>1包</t>
    <phoneticPr fontId="1" type="noConversion"/>
  </si>
  <si>
    <t>烤肉粉 and 醬</t>
    <phoneticPr fontId="1" type="noConversion"/>
  </si>
  <si>
    <t>木炭</t>
    <phoneticPr fontId="1" type="noConversion"/>
  </si>
  <si>
    <t>1罐</t>
    <phoneticPr fontId="1" type="noConversion"/>
  </si>
  <si>
    <t>6包</t>
    <phoneticPr fontId="1" type="noConversion"/>
  </si>
  <si>
    <t>泡菜</t>
    <phoneticPr fontId="1" type="noConversion"/>
  </si>
  <si>
    <t>筊白筍</t>
    <phoneticPr fontId="1" type="noConversion"/>
  </si>
  <si>
    <t>甜不辣</t>
    <phoneticPr fontId="1" type="noConversion"/>
  </si>
  <si>
    <t>6塊</t>
    <phoneticPr fontId="1" type="noConversion"/>
  </si>
  <si>
    <t>雞心</t>
    <phoneticPr fontId="1" type="noConversion"/>
  </si>
  <si>
    <t>吐司</t>
    <phoneticPr fontId="1" type="noConversion"/>
  </si>
  <si>
    <t>青椒,甜椒</t>
    <phoneticPr fontId="1" type="noConversion"/>
  </si>
  <si>
    <t>四季豆</t>
    <phoneticPr fontId="1" type="noConversion"/>
  </si>
  <si>
    <t>豆干</t>
    <phoneticPr fontId="1" type="noConversion"/>
  </si>
  <si>
    <t>蘋果</t>
    <phoneticPr fontId="1" type="noConversion"/>
  </si>
  <si>
    <t>參加名單</t>
    <phoneticPr fontId="1" type="noConversion"/>
  </si>
  <si>
    <t>item</t>
    <phoneticPr fontId="1" type="noConversion"/>
  </si>
  <si>
    <t>name</t>
    <phoneticPr fontId="1" type="noConversion"/>
  </si>
  <si>
    <t>Jason</t>
    <phoneticPr fontId="1" type="noConversion"/>
  </si>
  <si>
    <t>Jia</t>
    <phoneticPr fontId="1" type="noConversion"/>
  </si>
  <si>
    <t>pay</t>
    <phoneticPr fontId="1" type="noConversion"/>
  </si>
  <si>
    <t>育慈</t>
    <phoneticPr fontId="1" type="noConversion"/>
  </si>
  <si>
    <t>文馨</t>
    <phoneticPr fontId="1" type="noConversion"/>
  </si>
  <si>
    <t>子瓏</t>
    <phoneticPr fontId="1" type="noConversion"/>
  </si>
  <si>
    <t>爸爸</t>
    <phoneticPr fontId="1" type="noConversion"/>
  </si>
  <si>
    <t>阿姨</t>
    <phoneticPr fontId="1" type="noConversion"/>
  </si>
  <si>
    <t>媞韶</t>
    <phoneticPr fontId="1" type="noConversion"/>
  </si>
  <si>
    <t>艾妮</t>
    <phoneticPr fontId="1" type="noConversion"/>
  </si>
  <si>
    <t>小雨</t>
    <phoneticPr fontId="1" type="noConversion"/>
  </si>
  <si>
    <t>張傑</t>
    <phoneticPr fontId="1" type="noConversion"/>
  </si>
  <si>
    <t>金毛</t>
    <phoneticPr fontId="1" type="noConversion"/>
  </si>
  <si>
    <t>林</t>
    <phoneticPr fontId="1" type="noConversion"/>
  </si>
  <si>
    <t>芮</t>
    <phoneticPr fontId="1" type="noConversion"/>
  </si>
  <si>
    <t>林兒子</t>
    <phoneticPr fontId="1" type="noConversion"/>
  </si>
  <si>
    <t>郭</t>
    <phoneticPr fontId="1" type="noConversion"/>
  </si>
  <si>
    <t>郭婦</t>
    <phoneticPr fontId="1" type="noConversion"/>
  </si>
  <si>
    <t>郭女兒</t>
    <phoneticPr fontId="1" type="noConversion"/>
  </si>
  <si>
    <t>邱永振</t>
    <phoneticPr fontId="1" type="noConversion"/>
  </si>
  <si>
    <t>理事長</t>
    <phoneticPr fontId="1" type="noConversion"/>
  </si>
  <si>
    <t>合計</t>
    <phoneticPr fontId="1" type="noConversion"/>
  </si>
  <si>
    <t>20條</t>
    <phoneticPr fontId="1" type="noConversion"/>
  </si>
  <si>
    <t>飲料</t>
    <phoneticPr fontId="1" type="noConversion"/>
  </si>
  <si>
    <t>豬肉片(梅花)</t>
    <phoneticPr fontId="1" type="noConversion"/>
  </si>
  <si>
    <t>8條</t>
    <phoneticPr fontId="1" type="noConversion"/>
  </si>
  <si>
    <t>貢丸</t>
    <phoneticPr fontId="1" type="noConversion"/>
  </si>
  <si>
    <t>1包+1罐</t>
    <phoneticPr fontId="1" type="noConversion"/>
  </si>
  <si>
    <t>生菜(羅勒)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</si>
</sst>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1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3F9D-4201-4877-876A-CFEC48178237}">
  <dimension ref="B2:H34"/>
  <sheetViews>
    <sheetView tabSelected="1" zoomScale="70" zoomScaleNormal="70" workbookViewId="0">
      <selection activeCell="J17" sqref="J17"/>
    </sheetView>
  </sheetViews>
  <sheetFormatPr defaultRowHeight="17" x14ac:dyDescent="0.4"/>
  <cols>
    <col min="2" max="2" width="8.7265625" style="1"/>
    <col min="3" max="3" width="15.54296875" style="1" customWidth="1"/>
    <col min="4" max="4" width="20" style="1" bestFit="1" customWidth="1"/>
    <col min="5" max="5" width="8.7265625" style="1"/>
    <col min="6" max="6" width="7.36328125" style="1" customWidth="1"/>
    <col min="7" max="7" width="14.7265625" style="1" bestFit="1" customWidth="1"/>
    <col min="8" max="8" width="14.08984375" style="1" customWidth="1"/>
  </cols>
  <sheetData>
    <row r="2" spans="2:8" ht="27.5" customHeight="1" x14ac:dyDescent="0.4">
      <c r="B2" s="1" t="s">
        <v>1</v>
      </c>
      <c r="C2" s="1" t="s">
        <v>0</v>
      </c>
      <c r="D2" s="1" t="s">
        <v>10</v>
      </c>
      <c r="E2" s="1" t="s">
        <v>3</v>
      </c>
      <c r="G2" s="1" t="s">
        <v>9</v>
      </c>
      <c r="H2" s="1">
        <v>20</v>
      </c>
    </row>
    <row r="3" spans="2:8" x14ac:dyDescent="0.4">
      <c r="B3" s="1">
        <v>1</v>
      </c>
      <c r="C3" s="2" t="s">
        <v>2</v>
      </c>
      <c r="D3" s="2" t="s">
        <v>4</v>
      </c>
      <c r="E3" s="2">
        <v>459</v>
      </c>
      <c r="G3" s="1" t="s">
        <v>12</v>
      </c>
      <c r="H3" s="1">
        <f>工作表2!D24</f>
        <v>12</v>
      </c>
    </row>
    <row r="4" spans="2:8" x14ac:dyDescent="0.4">
      <c r="B4" s="1">
        <v>2</v>
      </c>
      <c r="C4" s="2" t="s">
        <v>5</v>
      </c>
      <c r="D4" s="2" t="s">
        <v>80</v>
      </c>
      <c r="E4" s="2">
        <v>399</v>
      </c>
      <c r="G4" s="1" t="s">
        <v>14</v>
      </c>
      <c r="H4" s="1">
        <v>500</v>
      </c>
    </row>
    <row r="5" spans="2:8" x14ac:dyDescent="0.4">
      <c r="B5" s="1">
        <v>3</v>
      </c>
      <c r="C5" s="2" t="s">
        <v>6</v>
      </c>
      <c r="D5" s="2" t="s">
        <v>7</v>
      </c>
      <c r="E5" s="2">
        <v>899</v>
      </c>
      <c r="G5" s="1" t="s">
        <v>13</v>
      </c>
      <c r="H5" s="1">
        <f>H4*H3</f>
        <v>6000</v>
      </c>
    </row>
    <row r="6" spans="2:8" x14ac:dyDescent="0.4">
      <c r="B6" s="1">
        <v>4</v>
      </c>
      <c r="C6" s="2" t="s">
        <v>8</v>
      </c>
      <c r="D6" s="2" t="s">
        <v>11</v>
      </c>
      <c r="E6" s="2">
        <v>1080</v>
      </c>
      <c r="G6" s="1" t="s">
        <v>16</v>
      </c>
      <c r="H6" s="1">
        <f>SUM(E3:E57)</f>
        <v>3107</v>
      </c>
    </row>
    <row r="7" spans="2:8" x14ac:dyDescent="0.4">
      <c r="B7" s="1">
        <v>5</v>
      </c>
      <c r="C7" s="2" t="s">
        <v>17</v>
      </c>
      <c r="D7" s="2" t="s">
        <v>18</v>
      </c>
      <c r="E7" s="2">
        <v>100</v>
      </c>
      <c r="G7" s="1" t="s">
        <v>15</v>
      </c>
      <c r="H7" s="3">
        <f>H6/H3</f>
        <v>258.91666666666669</v>
      </c>
    </row>
    <row r="8" spans="2:8" x14ac:dyDescent="0.4">
      <c r="B8" s="1">
        <v>6</v>
      </c>
      <c r="C8" s="1" t="s">
        <v>82</v>
      </c>
      <c r="D8" s="1" t="s">
        <v>32</v>
      </c>
      <c r="H8" s="3"/>
    </row>
    <row r="9" spans="2:8" x14ac:dyDescent="0.4">
      <c r="B9" s="1">
        <v>7</v>
      </c>
      <c r="C9" s="1" t="s">
        <v>19</v>
      </c>
      <c r="D9" s="1" t="s">
        <v>37</v>
      </c>
    </row>
    <row r="10" spans="2:8" x14ac:dyDescent="0.4">
      <c r="B10" s="1">
        <v>8</v>
      </c>
      <c r="C10" s="1" t="s">
        <v>21</v>
      </c>
      <c r="D10" s="1" t="s">
        <v>83</v>
      </c>
    </row>
    <row r="11" spans="2:8" x14ac:dyDescent="0.4">
      <c r="B11" s="1">
        <v>9</v>
      </c>
      <c r="C11" s="1" t="s">
        <v>23</v>
      </c>
      <c r="D11" s="1" t="s">
        <v>24</v>
      </c>
    </row>
    <row r="12" spans="2:8" x14ac:dyDescent="0.4">
      <c r="B12" s="1">
        <v>10</v>
      </c>
      <c r="C12" s="1" t="s">
        <v>49</v>
      </c>
      <c r="D12" s="1" t="s">
        <v>40</v>
      </c>
      <c r="E12" s="1">
        <v>0</v>
      </c>
    </row>
    <row r="13" spans="2:8" x14ac:dyDescent="0.4">
      <c r="B13" s="1">
        <v>11</v>
      </c>
      <c r="C13" s="1" t="s">
        <v>46</v>
      </c>
      <c r="D13" s="1" t="s">
        <v>40</v>
      </c>
    </row>
    <row r="14" spans="2:8" x14ac:dyDescent="0.4">
      <c r="B14" s="1">
        <v>12</v>
      </c>
      <c r="C14" s="1" t="s">
        <v>50</v>
      </c>
      <c r="D14" s="1" t="s">
        <v>24</v>
      </c>
    </row>
    <row r="15" spans="2:8" x14ac:dyDescent="0.4">
      <c r="B15" s="1">
        <v>13</v>
      </c>
      <c r="C15" s="1" t="s">
        <v>51</v>
      </c>
      <c r="D15" s="1" t="s">
        <v>20</v>
      </c>
    </row>
    <row r="16" spans="2:8" x14ac:dyDescent="0.4">
      <c r="B16" s="1">
        <v>14</v>
      </c>
      <c r="C16" s="1" t="s">
        <v>47</v>
      </c>
      <c r="D16" s="1" t="s">
        <v>48</v>
      </c>
    </row>
    <row r="17" spans="2:5" x14ac:dyDescent="0.4">
      <c r="B17" s="1">
        <v>15</v>
      </c>
      <c r="C17" s="1" t="s">
        <v>86</v>
      </c>
      <c r="D17" s="1" t="s">
        <v>40</v>
      </c>
    </row>
    <row r="18" spans="2:5" x14ac:dyDescent="0.4">
      <c r="B18" s="1">
        <v>16</v>
      </c>
      <c r="C18" s="1" t="s">
        <v>45</v>
      </c>
      <c r="D18" s="1" t="s">
        <v>43</v>
      </c>
    </row>
    <row r="19" spans="2:5" x14ac:dyDescent="0.4">
      <c r="B19" s="1">
        <v>17</v>
      </c>
      <c r="C19" s="1" t="s">
        <v>25</v>
      </c>
      <c r="D19" s="1" t="s">
        <v>22</v>
      </c>
    </row>
    <row r="20" spans="2:5" x14ac:dyDescent="0.4">
      <c r="B20" s="1">
        <v>18</v>
      </c>
      <c r="C20" s="1" t="s">
        <v>26</v>
      </c>
      <c r="D20" s="1" t="s">
        <v>37</v>
      </c>
    </row>
    <row r="21" spans="2:5" x14ac:dyDescent="0.4">
      <c r="B21" s="1">
        <v>19</v>
      </c>
      <c r="C21" s="1" t="s">
        <v>27</v>
      </c>
      <c r="D21" s="1" t="s">
        <v>29</v>
      </c>
    </row>
    <row r="22" spans="2:5" x14ac:dyDescent="0.4">
      <c r="B22" s="1">
        <v>20</v>
      </c>
      <c r="C22" s="1" t="s">
        <v>28</v>
      </c>
      <c r="D22" s="1" t="s">
        <v>36</v>
      </c>
    </row>
    <row r="23" spans="2:5" x14ac:dyDescent="0.4">
      <c r="B23" s="1">
        <v>21</v>
      </c>
      <c r="C23" s="1" t="s">
        <v>30</v>
      </c>
      <c r="D23" s="1" t="s">
        <v>38</v>
      </c>
    </row>
    <row r="24" spans="2:5" x14ac:dyDescent="0.4">
      <c r="B24" s="1">
        <v>22</v>
      </c>
      <c r="C24" s="1" t="s">
        <v>31</v>
      </c>
      <c r="D24" s="1" t="s">
        <v>32</v>
      </c>
    </row>
    <row r="25" spans="2:5" x14ac:dyDescent="0.4">
      <c r="B25" s="1">
        <v>23</v>
      </c>
      <c r="C25" s="1" t="s">
        <v>34</v>
      </c>
      <c r="D25" s="1" t="s">
        <v>35</v>
      </c>
    </row>
    <row r="26" spans="2:5" x14ac:dyDescent="0.4">
      <c r="B26" s="1">
        <v>24</v>
      </c>
      <c r="C26" s="1" t="s">
        <v>39</v>
      </c>
      <c r="D26" s="1" t="s">
        <v>40</v>
      </c>
    </row>
    <row r="27" spans="2:5" x14ac:dyDescent="0.4">
      <c r="B27" s="1">
        <v>25</v>
      </c>
      <c r="C27" s="1" t="s">
        <v>41</v>
      </c>
      <c r="D27" s="1" t="s">
        <v>85</v>
      </c>
      <c r="E27" s="1">
        <v>170</v>
      </c>
    </row>
    <row r="28" spans="2:5" x14ac:dyDescent="0.4">
      <c r="B28" s="1">
        <v>26</v>
      </c>
      <c r="C28" s="1" t="s">
        <v>42</v>
      </c>
      <c r="D28" s="1" t="s">
        <v>44</v>
      </c>
    </row>
    <row r="29" spans="2:5" x14ac:dyDescent="0.4">
      <c r="B29" s="1">
        <v>27</v>
      </c>
      <c r="C29" s="1" t="s">
        <v>52</v>
      </c>
      <c r="D29" s="1" t="s">
        <v>40</v>
      </c>
    </row>
    <row r="30" spans="2:5" x14ac:dyDescent="0.4">
      <c r="B30" s="1">
        <v>28</v>
      </c>
      <c r="C30" s="1" t="s">
        <v>53</v>
      </c>
      <c r="D30" s="1" t="s">
        <v>48</v>
      </c>
    </row>
    <row r="31" spans="2:5" x14ac:dyDescent="0.4">
      <c r="B31" s="1">
        <v>29</v>
      </c>
      <c r="C31" s="1" t="s">
        <v>33</v>
      </c>
      <c r="D31" s="1" t="s">
        <v>32</v>
      </c>
    </row>
    <row r="32" spans="2:5" x14ac:dyDescent="0.4">
      <c r="B32" s="1">
        <v>30</v>
      </c>
      <c r="C32" s="1" t="s">
        <v>54</v>
      </c>
      <c r="D32" s="1" t="s">
        <v>29</v>
      </c>
    </row>
    <row r="33" spans="2:4" x14ac:dyDescent="0.4">
      <c r="B33" s="1">
        <v>31</v>
      </c>
      <c r="C33" s="1" t="s">
        <v>81</v>
      </c>
    </row>
    <row r="34" spans="2:4" x14ac:dyDescent="0.4">
      <c r="B34" s="1">
        <v>32</v>
      </c>
      <c r="C34" s="1" t="s">
        <v>84</v>
      </c>
      <c r="D34" s="1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322B-B33B-4972-8211-7AB5967589A2}">
  <dimension ref="B2:D24"/>
  <sheetViews>
    <sheetView topLeftCell="A16" zoomScale="85" zoomScaleNormal="85" workbookViewId="0">
      <selection activeCell="I11" sqref="I11"/>
    </sheetView>
  </sheetViews>
  <sheetFormatPr defaultRowHeight="17" x14ac:dyDescent="0.4"/>
  <sheetData>
    <row r="2" spans="2:4" x14ac:dyDescent="0.4">
      <c r="B2" t="s">
        <v>55</v>
      </c>
    </row>
    <row r="3" spans="2:4" x14ac:dyDescent="0.4">
      <c r="B3" t="s">
        <v>56</v>
      </c>
      <c r="C3" t="s">
        <v>57</v>
      </c>
      <c r="D3" t="s">
        <v>60</v>
      </c>
    </row>
    <row r="4" spans="2:4" x14ac:dyDescent="0.4">
      <c r="B4">
        <v>1</v>
      </c>
      <c r="C4" t="s">
        <v>58</v>
      </c>
    </row>
    <row r="5" spans="2:4" x14ac:dyDescent="0.4">
      <c r="B5">
        <v>2</v>
      </c>
      <c r="C5" t="s">
        <v>59</v>
      </c>
      <c r="D5">
        <v>1</v>
      </c>
    </row>
    <row r="6" spans="2:4" x14ac:dyDescent="0.4">
      <c r="B6">
        <v>3</v>
      </c>
      <c r="C6" t="s">
        <v>61</v>
      </c>
      <c r="D6">
        <v>1</v>
      </c>
    </row>
    <row r="7" spans="2:4" x14ac:dyDescent="0.4">
      <c r="B7">
        <v>4</v>
      </c>
      <c r="C7" t="s">
        <v>62</v>
      </c>
      <c r="D7">
        <v>1</v>
      </c>
    </row>
    <row r="8" spans="2:4" x14ac:dyDescent="0.4">
      <c r="B8">
        <v>5</v>
      </c>
      <c r="C8" t="s">
        <v>63</v>
      </c>
      <c r="D8">
        <v>1</v>
      </c>
    </row>
    <row r="9" spans="2:4" x14ac:dyDescent="0.4">
      <c r="B9">
        <v>6</v>
      </c>
      <c r="C9" t="s">
        <v>64</v>
      </c>
    </row>
    <row r="10" spans="2:4" x14ac:dyDescent="0.4">
      <c r="B10">
        <v>7</v>
      </c>
      <c r="C10" t="s">
        <v>65</v>
      </c>
    </row>
    <row r="11" spans="2:4" x14ac:dyDescent="0.4">
      <c r="B11">
        <v>8</v>
      </c>
      <c r="C11" t="s">
        <v>66</v>
      </c>
    </row>
    <row r="12" spans="2:4" x14ac:dyDescent="0.4">
      <c r="B12">
        <v>9</v>
      </c>
      <c r="C12" t="s">
        <v>67</v>
      </c>
    </row>
    <row r="13" spans="2:4" x14ac:dyDescent="0.4">
      <c r="B13">
        <v>10</v>
      </c>
      <c r="C13" t="s">
        <v>69</v>
      </c>
      <c r="D13">
        <v>1</v>
      </c>
    </row>
    <row r="14" spans="2:4" x14ac:dyDescent="0.4">
      <c r="B14">
        <v>11</v>
      </c>
      <c r="C14" t="s">
        <v>68</v>
      </c>
      <c r="D14">
        <v>1</v>
      </c>
    </row>
    <row r="15" spans="2:4" x14ac:dyDescent="0.4">
      <c r="B15">
        <v>12</v>
      </c>
      <c r="C15" t="s">
        <v>70</v>
      </c>
      <c r="D15">
        <v>1</v>
      </c>
    </row>
    <row r="16" spans="2:4" x14ac:dyDescent="0.4">
      <c r="B16">
        <v>13</v>
      </c>
      <c r="C16" t="s">
        <v>71</v>
      </c>
      <c r="D16">
        <v>1</v>
      </c>
    </row>
    <row r="17" spans="2:4" x14ac:dyDescent="0.4">
      <c r="B17">
        <v>14</v>
      </c>
      <c r="C17" t="s">
        <v>72</v>
      </c>
      <c r="D17">
        <v>1</v>
      </c>
    </row>
    <row r="18" spans="2:4" x14ac:dyDescent="0.4">
      <c r="B18">
        <v>15</v>
      </c>
      <c r="C18" t="s">
        <v>73</v>
      </c>
    </row>
    <row r="19" spans="2:4" x14ac:dyDescent="0.4">
      <c r="B19">
        <v>16</v>
      </c>
      <c r="C19" t="s">
        <v>74</v>
      </c>
      <c r="D19">
        <v>1</v>
      </c>
    </row>
    <row r="20" spans="2:4" x14ac:dyDescent="0.4">
      <c r="B20">
        <v>17</v>
      </c>
      <c r="C20" t="s">
        <v>75</v>
      </c>
      <c r="D20">
        <v>1</v>
      </c>
    </row>
    <row r="21" spans="2:4" x14ac:dyDescent="0.4">
      <c r="B21">
        <v>18</v>
      </c>
      <c r="C21" t="s">
        <v>76</v>
      </c>
    </row>
    <row r="22" spans="2:4" x14ac:dyDescent="0.4">
      <c r="B22">
        <v>19</v>
      </c>
      <c r="C22" t="s">
        <v>77</v>
      </c>
      <c r="D22">
        <v>1</v>
      </c>
    </row>
    <row r="23" spans="2:4" x14ac:dyDescent="0.4">
      <c r="B23">
        <v>20</v>
      </c>
      <c r="C23" t="s">
        <v>78</v>
      </c>
    </row>
    <row r="24" spans="2:4" x14ac:dyDescent="0.4">
      <c r="C24" t="s">
        <v>79</v>
      </c>
      <c r="D24">
        <f>SUM(D4:D23)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岳哲 李</dc:creator>
  <cp:lastModifiedBy>岳哲 李</cp:lastModifiedBy>
  <dcterms:created xsi:type="dcterms:W3CDTF">2026-09-10T13:50:35Z</dcterms:created>
  <dcterms:modified xsi:type="dcterms:W3CDTF">2026-09-22T10:09:34Z</dcterms:modified>
</cp:coreProperties>
</file>